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7673827C-D346-41F8-A698-63AACC4134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RRAMENTA " sheetId="1" r:id="rId1"/>
    <sheet name="CHAVES" sheetId="2" r:id="rId2"/>
  </sheets>
  <definedNames>
    <definedName name="APORTE">'FERRAMENTA '!$D$10</definedName>
    <definedName name="QTD_ANOS">'FERRAMENTA '!$D$11:$D$11</definedName>
    <definedName name="RENDIMENTO_CARTEIRA">'FERRAMENTA '!$D$6:$D$6</definedName>
    <definedName name="SALARIO">'FERRAMENTA '!$D$5:$D$5</definedName>
    <definedName name="TAXA_MENSAL">'FERRAMENTA '!$D$12:$D$12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 a="1"/>
  <c r="D13" i="1"/>
  <c r="C28" i="1"/>
  <c r="C29" i="1"/>
  <c r="C30" i="1"/>
  <c r="C31" i="1"/>
  <c r="C32" i="1"/>
  <c r="C27" i="1"/>
  <c r="C24" i="1"/>
  <c r="D7" i="1" a="1"/>
  <c r="D7" i="1"/>
  <c r="C21" i="1" a="1"/>
  <c r="C21" i="1"/>
  <c r="C20" i="1" a="1"/>
  <c r="C20" i="1"/>
  <c r="C19" i="1" a="1"/>
  <c r="C19" i="1"/>
  <c r="C18" i="1" a="1"/>
  <c r="C18" i="1"/>
  <c r="C17" i="1" a="1"/>
  <c r="C17" i="1"/>
  <c r="D18" i="1" a="1"/>
  <c r="D18" i="1"/>
  <c r="D19" i="1" a="1"/>
  <c r="D19" i="1"/>
  <c r="D20" i="1" a="1"/>
  <c r="D20" i="1"/>
  <c r="D21" i="1" a="1"/>
  <c r="D21" i="1"/>
  <c r="D17" i="1" a="1"/>
  <c r="D17" i="1"/>
  <c r="D14" i="1"/>
  <c r="D28" i="1" l="1"/>
  <c r="D29" i="1"/>
  <c r="D30" i="1"/>
  <c r="D31" i="1"/>
  <c r="D32" i="1"/>
  <c r="D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<sst xmlns="http://schemas.openxmlformats.org/spreadsheetml/2006/main" count="96" uniqueCount="53">
  <si>
    <t>APP DE CONTROLE DE INVESTIMENTOS</t>
  </si>
  <si>
    <t>CONFIGURAÇÕES</t>
  </si>
  <si>
    <t>SALÁRIO</t>
  </si>
  <si>
    <t>RENDIMENTO CARTEIRA</t>
  </si>
  <si>
    <t>INVESTIMENTO SUGERIDO</t>
  </si>
  <si>
    <t>INVESTIMENTO MENSAL</t>
  </si>
  <si>
    <t xml:space="preserve">VALOR </t>
  </si>
  <si>
    <t>NÚMERO DE ANOS</t>
  </si>
  <si>
    <t>TAXA DE RENDIMENTO</t>
  </si>
  <si>
    <t>PATRIMÔNIO ACUMULADO</t>
  </si>
  <si>
    <t>DIVIDENDOS MENSAIS</t>
  </si>
  <si>
    <t>CENÁRIOS</t>
  </si>
  <si>
    <t>DIVIDENDOS</t>
  </si>
  <si>
    <t>RENDIMENTO EM 2 ANOS</t>
  </si>
  <si>
    <t>RENDIMENTO EM 5 ANOS</t>
  </si>
  <si>
    <t>RENDIMENTO EM 10 ANOS</t>
  </si>
  <si>
    <t>RENDIMENTO EM 20 ANOS</t>
  </si>
  <si>
    <t>RENDIMENTO EM 30 ANOS</t>
  </si>
  <si>
    <t>PERFIL</t>
  </si>
  <si>
    <t>AGRESSIVO</t>
  </si>
  <si>
    <t>VALOR DE INVESTIMENTO MENSAL</t>
  </si>
  <si>
    <t>TIPOS DE FII</t>
  </si>
  <si>
    <t>PERCENTUAL SUGERIDO</t>
  </si>
  <si>
    <t>VALORES</t>
  </si>
  <si>
    <t>PAPEL</t>
  </si>
  <si>
    <t>TIJOLO</t>
  </si>
  <si>
    <t>HIBRIDOS</t>
  </si>
  <si>
    <t>FOFs</t>
  </si>
  <si>
    <t>HOTELARIA</t>
  </si>
  <si>
    <t>DESENVOLVIMENTO</t>
  </si>
  <si>
    <t>CHAVE</t>
  </si>
  <si>
    <t>TIPOS DE FIIs</t>
  </si>
  <si>
    <t>PERCENTUAL</t>
  </si>
  <si>
    <t>CONSERVADOR-PAPEL</t>
  </si>
  <si>
    <t>CONSERVADOR</t>
  </si>
  <si>
    <t>CONSERVADOR-TIJOLO</t>
  </si>
  <si>
    <t>CONSERVADOR-HIBRIDOS</t>
  </si>
  <si>
    <t>CONSERVADOR-FOFs</t>
  </si>
  <si>
    <t>CONSERVADOR-HOTELARIA</t>
  </si>
  <si>
    <t>CONSERVADOR-DESENVOLVIMENTO</t>
  </si>
  <si>
    <t>MODERADO-PAPEL</t>
  </si>
  <si>
    <t>MODERADO</t>
  </si>
  <si>
    <t>MODERADO-TIJOLO</t>
  </si>
  <si>
    <t>MODERADO-HIBRIDOS</t>
  </si>
  <si>
    <t>MODERADO-FOFs</t>
  </si>
  <si>
    <t>MODERADO-HOTELARIA</t>
  </si>
  <si>
    <t>MODERADO-DESENVOLVIMENTO</t>
  </si>
  <si>
    <t>AGRESSIVO-PAPEL</t>
  </si>
  <si>
    <t>AGRESSIVO-TIJOLO</t>
  </si>
  <si>
    <t>AGRESSIVO-HIBRIDOS</t>
  </si>
  <si>
    <t>AGRESSIVO-FOFs</t>
  </si>
  <si>
    <t>AGRESSIVO-HOTELARIA</t>
  </si>
  <si>
    <t>AGRESSIVO-DESENVOLVIMENTO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</si>
</sst>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&quot;R$&quot;\ #,##0.000;[Red]\-&quot;R$&quot;\ #,##0.000"/>
    <numFmt numFmtId="166" formatCode="0.0%"/>
  </numFmts>
  <fonts count="19">
    <font>
      <sz val="11"/>
      <color theme="1"/>
      <name val="Calibri"/>
      <family val="2"/>
      <scheme val="minor"/>
    </font>
    <font>
      <b/>
      <sz val="20"/>
      <color rgb="FFE7E6E6"/>
      <name val="Cordia New"/>
    </font>
    <font>
      <b/>
      <sz val="18"/>
      <color theme="2"/>
      <name val="Cordia New"/>
    </font>
    <font>
      <sz val="18"/>
      <color theme="2"/>
      <name val="Calibri"/>
      <family val="2"/>
      <scheme val="minor"/>
    </font>
    <font>
      <b/>
      <sz val="11"/>
      <color rgb="FF1F5363"/>
      <name val="Calibri"/>
      <family val="2"/>
      <scheme val="minor"/>
    </font>
    <font>
      <b/>
      <sz val="18"/>
      <color theme="2"/>
      <name val="Segoe UI"/>
    </font>
    <font>
      <b/>
      <sz val="18"/>
      <color rgb="FFE7E6E6"/>
      <name val="Segoe UI"/>
    </font>
    <font>
      <b/>
      <sz val="11"/>
      <color theme="2"/>
      <name val="Segoe UI"/>
    </font>
    <font>
      <b/>
      <sz val="12"/>
      <color rgb="FF1F5363"/>
      <name val="Segoe UI"/>
    </font>
    <font>
      <b/>
      <sz val="12"/>
      <color rgb="FF1F5363"/>
      <name val="Calibri"/>
      <family val="2"/>
      <scheme val="minor"/>
    </font>
    <font>
      <b/>
      <sz val="10"/>
      <color rgb="FFE7E6E6"/>
      <name val="Segoe UI"/>
    </font>
    <font>
      <sz val="11"/>
      <color rgb="FF1F5363"/>
      <name val="Segoe UI"/>
    </font>
    <font>
      <sz val="11"/>
      <color rgb="FF014D49"/>
      <name val="Segoe UI"/>
    </font>
    <font>
      <b/>
      <sz val="11"/>
      <color rgb="FF014D49"/>
      <name val="Segoe UI"/>
    </font>
    <font>
      <b/>
      <sz val="12"/>
      <color rgb="FF014D49"/>
      <name val="Segoe UI"/>
    </font>
    <font>
      <b/>
      <sz val="12"/>
      <color rgb="FFE7E6E6"/>
      <name val="Segoe UI"/>
    </font>
    <font>
      <b/>
      <sz val="11"/>
      <color rgb="FF1F5363"/>
      <name val="Segoe UI"/>
    </font>
    <font>
      <b/>
      <sz val="26"/>
      <color theme="0" tint="-4.9989318521683403E-2"/>
      <name val="Calibri"/>
      <family val="2"/>
      <scheme val="minor"/>
    </font>
    <font>
      <b/>
      <sz val="36"/>
      <color rgb="FFF2F2F2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536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/>
      <right style="thin">
        <color theme="6"/>
      </right>
      <top/>
      <bottom/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/>
      <right style="medium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/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thin">
        <color theme="6"/>
      </right>
      <top/>
      <bottom style="medium">
        <color theme="6"/>
      </bottom>
      <diagonal/>
    </border>
    <border>
      <left/>
      <right style="medium">
        <color theme="6"/>
      </right>
      <top style="thin">
        <color theme="6"/>
      </top>
      <bottom style="medium">
        <color theme="6"/>
      </bottom>
      <diagonal/>
    </border>
    <border>
      <left/>
      <right style="medium">
        <color theme="6"/>
      </right>
      <top style="thin">
        <color theme="6"/>
      </top>
      <bottom/>
      <diagonal/>
    </border>
    <border>
      <left style="medium">
        <color theme="6"/>
      </left>
      <right style="thin">
        <color theme="6"/>
      </right>
      <top/>
      <bottom/>
      <diagonal/>
    </border>
    <border>
      <left style="thin">
        <color theme="6"/>
      </left>
      <right style="medium">
        <color theme="6"/>
      </right>
      <top/>
      <bottom style="thin">
        <color theme="6"/>
      </bottom>
      <diagonal/>
    </border>
    <border>
      <left style="medium">
        <color theme="6"/>
      </left>
      <right style="thin">
        <color theme="6"/>
      </right>
      <top/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thin">
        <color theme="6"/>
      </bottom>
      <diagonal/>
    </border>
    <border>
      <left/>
      <right/>
      <top style="medium">
        <color theme="6"/>
      </top>
      <bottom style="thin">
        <color theme="6"/>
      </bottom>
      <diagonal/>
    </border>
    <border>
      <left/>
      <right style="medium">
        <color theme="6"/>
      </right>
      <top style="medium">
        <color theme="6"/>
      </top>
      <bottom style="thin">
        <color theme="6"/>
      </bottom>
      <diagonal/>
    </border>
    <border>
      <left/>
      <right style="medium">
        <color theme="6"/>
      </right>
      <top/>
      <bottom/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medium">
        <color theme="6"/>
      </bottom>
      <diagonal/>
    </border>
    <border>
      <left/>
      <right style="medium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/>
      <top style="thin">
        <color theme="6"/>
      </top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 style="thin">
        <color theme="6"/>
      </right>
      <top style="medium">
        <color theme="6"/>
      </top>
      <bottom/>
      <diagonal/>
    </border>
    <border>
      <left style="medium">
        <color theme="6"/>
      </left>
      <right style="thin">
        <color theme="6"/>
      </right>
      <top style="medium">
        <color theme="6"/>
      </top>
      <bottom style="medium">
        <color theme="6"/>
      </bottom>
      <diagonal/>
    </border>
    <border>
      <left style="thin">
        <color theme="6"/>
      </left>
      <right/>
      <top style="medium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/>
    <xf numFmtId="0" fontId="3" fillId="4" borderId="1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vertical="center" indent="1"/>
    </xf>
    <xf numFmtId="0" fontId="1" fillId="4" borderId="10" xfId="0" applyFont="1" applyFill="1" applyBorder="1" applyAlignment="1">
      <alignment vertical="center" indent="1"/>
    </xf>
    <xf numFmtId="0" fontId="1" fillId="4" borderId="9" xfId="0" applyFont="1" applyFill="1" applyBorder="1" applyAlignment="1">
      <alignment vertical="center" indent="1"/>
    </xf>
    <xf numFmtId="0" fontId="0" fillId="6" borderId="0" xfId="0" applyFill="1"/>
    <xf numFmtId="0" fontId="0" fillId="6" borderId="0" xfId="0" applyFill="1" applyAlignment="1"/>
    <xf numFmtId="0" fontId="0" fillId="4" borderId="31" xfId="0" applyFill="1" applyBorder="1"/>
    <xf numFmtId="0" fontId="5" fillId="4" borderId="30" xfId="0" applyFont="1" applyFill="1" applyBorder="1" applyAlignment="1">
      <alignment vertical="center" indent="1"/>
    </xf>
    <xf numFmtId="0" fontId="6" fillId="4" borderId="8" xfId="0" applyFont="1" applyFill="1" applyBorder="1" applyAlignment="1">
      <alignment vertical="center" indent="1"/>
    </xf>
    <xf numFmtId="0" fontId="7" fillId="4" borderId="2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 indent="1"/>
    </xf>
    <xf numFmtId="0" fontId="9" fillId="2" borderId="0" xfId="0" applyFont="1" applyFill="1" applyBorder="1" applyAlignment="1">
      <alignment vertical="center" indent="1"/>
    </xf>
    <xf numFmtId="0" fontId="8" fillId="2" borderId="12" xfId="0" applyFont="1" applyFill="1" applyBorder="1" applyAlignment="1">
      <alignment indent="1"/>
    </xf>
    <xf numFmtId="0" fontId="9" fillId="2" borderId="0" xfId="0" applyFont="1" applyFill="1" applyBorder="1" applyAlignment="1">
      <alignment indent="1"/>
    </xf>
    <xf numFmtId="0" fontId="8" fillId="2" borderId="13" xfId="0" applyFont="1" applyFill="1" applyBorder="1" applyAlignment="1">
      <alignment vertical="center" indent="1"/>
    </xf>
    <xf numFmtId="0" fontId="9" fillId="2" borderId="25" xfId="0" applyFont="1" applyFill="1" applyBorder="1" applyAlignment="1">
      <alignment vertical="center" indent="1"/>
    </xf>
    <xf numFmtId="0" fontId="8" fillId="2" borderId="17" xfId="0" applyFont="1" applyFill="1" applyBorder="1" applyAlignment="1">
      <alignment horizontal="left" vertical="center" indent="1"/>
    </xf>
    <xf numFmtId="0" fontId="8" fillId="2" borderId="17" xfId="0" applyFont="1" applyFill="1" applyBorder="1" applyAlignment="1">
      <alignment horizontal="left" indent="1"/>
    </xf>
    <xf numFmtId="0" fontId="8" fillId="2" borderId="19" xfId="0" applyFont="1" applyFill="1" applyBorder="1" applyAlignment="1">
      <alignment horizontal="left" indent="1"/>
    </xf>
    <xf numFmtId="0" fontId="8" fillId="2" borderId="34" xfId="0" applyFont="1" applyFill="1" applyBorder="1" applyAlignment="1">
      <alignment horizontal="left" vertical="center" indent="1"/>
    </xf>
    <xf numFmtId="0" fontId="6" fillId="4" borderId="8" xfId="0" applyFont="1" applyFill="1" applyBorder="1" applyAlignment="1">
      <alignment horizontal="left" vertical="center" indent="1"/>
    </xf>
    <xf numFmtId="0" fontId="10" fillId="4" borderId="9" xfId="0" applyFont="1" applyFill="1" applyBorder="1" applyAlignment="1">
      <alignment horizontal="center" vertical="center" indent="1"/>
    </xf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8" borderId="0" xfId="0" applyFill="1"/>
    <xf numFmtId="0" fontId="0" fillId="8" borderId="0" xfId="0" applyFill="1" applyAlignment="1"/>
    <xf numFmtId="0" fontId="0" fillId="8" borderId="0" xfId="0" applyFill="1" applyBorder="1"/>
    <xf numFmtId="0" fontId="14" fillId="7" borderId="37" xfId="0" applyFont="1" applyFill="1" applyBorder="1" applyAlignment="1">
      <alignment horizontal="left" vertical="center" indent="1"/>
    </xf>
    <xf numFmtId="0" fontId="10" fillId="4" borderId="10" xfId="0" applyFont="1" applyFill="1" applyBorder="1" applyAlignment="1">
      <alignment horizontal="center" vertical="center" indent="1"/>
    </xf>
    <xf numFmtId="0" fontId="0" fillId="0" borderId="30" xfId="0" applyBorder="1"/>
    <xf numFmtId="0" fontId="0" fillId="0" borderId="31" xfId="0" applyBorder="1"/>
    <xf numFmtId="0" fontId="0" fillId="0" borderId="17" xfId="0" applyBorder="1"/>
    <xf numFmtId="0" fontId="0" fillId="0" borderId="19" xfId="0" applyBorder="1"/>
    <xf numFmtId="0" fontId="0" fillId="0" borderId="33" xfId="0" applyBorder="1"/>
    <xf numFmtId="0" fontId="0" fillId="0" borderId="31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29" xfId="0" applyBorder="1" applyAlignment="1">
      <alignment horizontal="left" vertical="center" indent="1"/>
    </xf>
    <xf numFmtId="0" fontId="0" fillId="0" borderId="32" xfId="0" applyBorder="1" applyAlignment="1">
      <alignment horizontal="center" vertical="center" indent="1"/>
    </xf>
    <xf numFmtId="0" fontId="0" fillId="0" borderId="32" xfId="0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 indent="1"/>
    </xf>
    <xf numFmtId="0" fontId="0" fillId="0" borderId="1" xfId="0" applyBorder="1" applyAlignment="1">
      <alignment horizontal="center" vertical="center" indent="1"/>
    </xf>
    <xf numFmtId="0" fontId="0" fillId="0" borderId="4" xfId="0" applyBorder="1" applyAlignment="1">
      <alignment horizontal="center" vertical="center" indent="1"/>
    </xf>
    <xf numFmtId="0" fontId="0" fillId="0" borderId="36" xfId="0" applyBorder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164" fontId="11" fillId="5" borderId="24" xfId="0" applyNumberFormat="1" applyFont="1" applyFill="1" applyBorder="1" applyAlignment="1">
      <alignment horizontal="left" vertical="center" indent="1"/>
    </xf>
    <xf numFmtId="164" fontId="11" fillId="3" borderId="26" xfId="0" applyNumberFormat="1" applyFont="1" applyFill="1" applyBorder="1" applyAlignment="1">
      <alignment horizontal="right" vertical="center" indent="1"/>
    </xf>
    <xf numFmtId="0" fontId="11" fillId="3" borderId="16" xfId="0" applyFont="1" applyFill="1" applyBorder="1" applyAlignment="1">
      <alignment horizontal="right" vertical="center" indent="1"/>
    </xf>
    <xf numFmtId="164" fontId="11" fillId="3" borderId="11" xfId="0" applyNumberFormat="1" applyFont="1" applyFill="1" applyBorder="1" applyAlignment="1">
      <alignment horizontal="right" vertical="center" indent="1"/>
    </xf>
    <xf numFmtId="164" fontId="11" fillId="3" borderId="15" xfId="0" applyNumberFormat="1" applyFont="1" applyFill="1" applyBorder="1" applyAlignment="1">
      <alignment horizontal="right" vertical="center" indent="1"/>
    </xf>
    <xf numFmtId="0" fontId="14" fillId="7" borderId="19" xfId="0" applyFont="1" applyFill="1" applyBorder="1" applyAlignment="1">
      <alignment horizontal="left" vertical="center" indent="1"/>
    </xf>
    <xf numFmtId="0" fontId="14" fillId="7" borderId="17" xfId="0" applyFont="1" applyFill="1" applyBorder="1" applyAlignment="1">
      <alignment horizontal="left" vertical="center" indent="1"/>
    </xf>
    <xf numFmtId="164" fontId="16" fillId="9" borderId="27" xfId="0" applyNumberFormat="1" applyFont="1" applyFill="1" applyBorder="1" applyAlignment="1">
      <alignment horizontal="left" vertical="center" indent="1"/>
    </xf>
    <xf numFmtId="8" fontId="16" fillId="9" borderId="23" xfId="0" applyNumberFormat="1" applyFont="1" applyFill="1" applyBorder="1" applyAlignment="1">
      <alignment horizontal="right" vertical="center" indent="1"/>
    </xf>
    <xf numFmtId="165" fontId="16" fillId="9" borderId="15" xfId="0" applyNumberFormat="1" applyFont="1" applyFill="1" applyBorder="1" applyAlignment="1">
      <alignment horizontal="right" vertical="center" indent="1"/>
    </xf>
    <xf numFmtId="164" fontId="13" fillId="9" borderId="22" xfId="0" applyNumberFormat="1" applyFont="1" applyFill="1" applyBorder="1" applyAlignment="1">
      <alignment horizontal="center" vertical="center"/>
    </xf>
    <xf numFmtId="9" fontId="12" fillId="7" borderId="2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right" vertical="center" indent="3"/>
    </xf>
    <xf numFmtId="164" fontId="11" fillId="3" borderId="28" xfId="0" applyNumberFormat="1" applyFont="1" applyFill="1" applyBorder="1" applyAlignment="1">
      <alignment horizontal="right" vertical="center" indent="3"/>
    </xf>
    <xf numFmtId="166" fontId="11" fillId="5" borderId="24" xfId="0" applyNumberFormat="1" applyFont="1" applyFill="1" applyBorder="1" applyAlignment="1">
      <alignment horizontal="right" vertical="center" indent="2"/>
    </xf>
    <xf numFmtId="166" fontId="11" fillId="3" borderId="11" xfId="0" applyNumberFormat="1" applyFont="1" applyFill="1" applyBorder="1" applyAlignment="1">
      <alignment horizontal="right" vertical="center" indent="1"/>
    </xf>
    <xf numFmtId="0" fontId="17" fillId="4" borderId="31" xfId="0" applyFont="1" applyFill="1" applyBorder="1" applyAlignment="1">
      <alignment horizontal="center" vertical="center"/>
    </xf>
    <xf numFmtId="164" fontId="4" fillId="3" borderId="35" xfId="0" applyNumberFormat="1" applyFont="1" applyFill="1" applyBorder="1" applyAlignment="1">
      <alignment horizontal="center" vertical="center" indent="1"/>
    </xf>
    <xf numFmtId="164" fontId="4" fillId="3" borderId="32" xfId="0" applyNumberFormat="1" applyFont="1" applyFill="1" applyBorder="1" applyAlignment="1">
      <alignment horizontal="center" vertical="center" indent="1"/>
    </xf>
    <xf numFmtId="164" fontId="15" fillId="4" borderId="31" xfId="0" applyNumberFormat="1" applyFont="1" applyFill="1" applyBorder="1" applyAlignment="1">
      <alignment horizontal="center" vertical="center" indent="1"/>
    </xf>
    <xf numFmtId="164" fontId="15" fillId="4" borderId="32" xfId="0" applyNumberFormat="1" applyFont="1" applyFill="1" applyBorder="1" applyAlignment="1">
      <alignment horizontal="center" vertical="center" indent="1"/>
    </xf>
    <xf numFmtId="0" fontId="6" fillId="4" borderId="20" xfId="0" applyFont="1" applyFill="1" applyBorder="1" applyAlignment="1">
      <alignment horizontal="left" vertical="center" indent="1"/>
    </xf>
    <xf numFmtId="0" fontId="6" fillId="4" borderId="21" xfId="0" applyFont="1" applyFill="1" applyBorder="1" applyAlignment="1">
      <alignment horizontal="left" vertical="center" indent="1"/>
    </xf>
    <xf numFmtId="0" fontId="8" fillId="5" borderId="12" xfId="0" applyFont="1" applyFill="1" applyBorder="1" applyAlignment="1">
      <alignment horizontal="left" vertical="center" indent="1"/>
    </xf>
    <xf numFmtId="0" fontId="8" fillId="5" borderId="7" xfId="0" applyFont="1" applyFill="1" applyBorder="1" applyAlignment="1">
      <alignment horizontal="left" vertical="center" indent="1"/>
    </xf>
    <xf numFmtId="0" fontId="8" fillId="5" borderId="13" xfId="0" applyFont="1" applyFill="1" applyBorder="1" applyAlignment="1">
      <alignment horizontal="left" vertical="center" indent="1"/>
    </xf>
    <xf numFmtId="0" fontId="8" fillId="5" borderId="14" xfId="0" applyFont="1" applyFill="1" applyBorder="1" applyAlignment="1">
      <alignment horizontal="left" vertical="center" indent="1"/>
    </xf>
    <xf numFmtId="0" fontId="18" fillId="4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E6B73"/>
      <color rgb="FF8A9A5B"/>
      <color rgb="FFD9A441"/>
      <color rgb="FF2E8B7A"/>
      <color rgb="FF00493F"/>
      <color rgb="FF7FC4B3"/>
      <color rgb="FFD9D9D9"/>
      <color rgb="FF222B35"/>
      <color rgb="FF014D49"/>
      <color rgb="FF1F5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rgbClr val="00493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FF9-4FBC-A7C7-836A08046C8A}"/>
              </c:ext>
            </c:extLst>
          </c:dPt>
          <c:dPt>
            <c:idx val="1"/>
            <c:bubble3D val="0"/>
            <c:spPr>
              <a:solidFill>
                <a:srgbClr val="2E8B7A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F9-4FBC-A7C7-836A08046C8A}"/>
              </c:ext>
            </c:extLst>
          </c:dPt>
          <c:dPt>
            <c:idx val="2"/>
            <c:bubble3D val="0"/>
            <c:spPr>
              <a:solidFill>
                <a:srgbClr val="7FC4B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B07-43E1-BC53-40A5D4A71F93}"/>
              </c:ext>
            </c:extLst>
          </c:dPt>
          <c:dPt>
            <c:idx val="3"/>
            <c:bubble3D val="0"/>
            <c:spPr>
              <a:solidFill>
                <a:srgbClr val="D9A44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F9-4FBC-A7C7-836A08046C8A}"/>
              </c:ext>
            </c:extLst>
          </c:dPt>
          <c:dPt>
            <c:idx val="4"/>
            <c:bubble3D val="0"/>
            <c:spPr>
              <a:solidFill>
                <a:srgbClr val="8A9A5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F9-4FBC-A7C7-836A08046C8A}"/>
              </c:ext>
            </c:extLst>
          </c:dPt>
          <c:dPt>
            <c:idx val="5"/>
            <c:bubble3D val="0"/>
            <c:spPr>
              <a:solidFill>
                <a:srgbClr val="5E6B7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F9-4FBC-A7C7-836A08046C8A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2F2F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'FERRAMENTA '!$B$27:$B$32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HOTELARIA</c:v>
                </c:pt>
                <c:pt idx="5">
                  <c:v>DESENVOLVIMENTO</c:v>
                </c:pt>
              </c:strCache>
            </c:strRef>
          </c:cat>
          <c:val>
            <c:numRef>
              <c:f>'FERRAMENTA '!$C$27:$C$32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355-AD62-3A11C88D1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57980495717908"/>
          <c:y val="0.63579613893772391"/>
          <c:w val="0.64297313263192524"/>
          <c:h val="0.32454509557986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161925</xdr:rowOff>
    </xdr:from>
    <xdr:to>
      <xdr:col>4</xdr:col>
      <xdr:colOff>3400425</xdr:colOff>
      <xdr:row>14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2285D7-7C45-DDAA-3BFD-04F9F9FE5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</xdr:row>
      <xdr:rowOff>142875</xdr:rowOff>
    </xdr:from>
    <xdr:to>
      <xdr:col>4</xdr:col>
      <xdr:colOff>3457575</xdr:colOff>
      <xdr:row>28</xdr:row>
      <xdr:rowOff>209550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46E23C-F7D5-8D72-73B6-C7779FE9193C}"/>
            </a:ext>
            <a:ext uri="{147F2762-F138-4A5C-976F-8EAC2B608ADB}">
              <a16:predDERef xmlns:a16="http://schemas.microsoft.com/office/drawing/2014/main" pred="{592285D7-7C45-DDAA-3BFD-04F9F9FE5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showRowColHeaders="0" tabSelected="1" workbookViewId="0">
      <selection sqref="A1:E1"/>
    </sheetView>
  </sheetViews>
  <sheetFormatPr defaultColWidth="0" defaultRowHeight="15"/>
  <cols>
    <col min="1" max="1" width="4.85546875" customWidth="1"/>
    <col min="2" max="2" width="43.5703125" bestFit="1" customWidth="1"/>
    <col min="3" max="3" width="42.28515625" bestFit="1" customWidth="1"/>
    <col min="4" max="4" width="15.7109375" bestFit="1" customWidth="1"/>
    <col min="5" max="5" width="56" style="1" customWidth="1"/>
  </cols>
  <sheetData>
    <row r="1" spans="1:5" s="8" customFormat="1" ht="67.5" customHeight="1">
      <c r="A1" s="86" t="s">
        <v>0</v>
      </c>
      <c r="B1" s="75"/>
      <c r="C1" s="75"/>
      <c r="D1" s="75"/>
      <c r="E1" s="75"/>
    </row>
    <row r="2" spans="1:5">
      <c r="A2" s="6"/>
      <c r="B2" s="6"/>
      <c r="C2" s="6"/>
      <c r="D2" s="6"/>
      <c r="E2" s="7"/>
    </row>
    <row r="3" spans="1:5">
      <c r="A3" s="6"/>
      <c r="B3" s="6"/>
      <c r="C3" s="6"/>
      <c r="D3" s="6"/>
      <c r="E3" s="7"/>
    </row>
    <row r="4" spans="1:5" ht="26.25">
      <c r="A4" s="6"/>
      <c r="B4" s="9" t="s">
        <v>1</v>
      </c>
      <c r="C4" s="3"/>
      <c r="D4" s="2"/>
      <c r="E4" s="7"/>
    </row>
    <row r="5" spans="1:5" ht="17.25">
      <c r="A5" s="6"/>
      <c r="B5" s="12" t="s">
        <v>2</v>
      </c>
      <c r="C5" s="13"/>
      <c r="D5" s="59">
        <v>1620</v>
      </c>
      <c r="E5" s="7"/>
    </row>
    <row r="6" spans="1:5" ht="17.25">
      <c r="A6" s="6"/>
      <c r="B6" s="14" t="s">
        <v>3</v>
      </c>
      <c r="C6" s="15"/>
      <c r="D6" s="73">
        <v>1.0800000000000001E-2</v>
      </c>
      <c r="E6" s="7"/>
    </row>
    <row r="7" spans="1:5" ht="17.25">
      <c r="A7" s="6"/>
      <c r="B7" s="16" t="s">
        <v>4</v>
      </c>
      <c r="C7" s="17"/>
      <c r="D7" s="66" cm="1">
        <f t="array" ref="D7">SALARIO*30%</f>
        <v>486</v>
      </c>
      <c r="E7" s="7"/>
    </row>
    <row r="8" spans="1:5">
      <c r="A8" s="6"/>
      <c r="B8" s="6"/>
      <c r="C8" s="6"/>
      <c r="D8" s="6"/>
      <c r="E8" s="7"/>
    </row>
    <row r="9" spans="1:5" ht="32.25" customHeight="1">
      <c r="A9" s="6"/>
      <c r="B9" s="10" t="s">
        <v>5</v>
      </c>
      <c r="C9" s="5"/>
      <c r="D9" s="4"/>
      <c r="E9" s="7"/>
    </row>
    <row r="10" spans="1:5" ht="17.25">
      <c r="A10" s="6"/>
      <c r="B10" s="82" t="s">
        <v>6</v>
      </c>
      <c r="C10" s="83"/>
      <c r="D10" s="60">
        <v>100</v>
      </c>
      <c r="E10" s="7"/>
    </row>
    <row r="11" spans="1:5" ht="17.25">
      <c r="A11" s="6"/>
      <c r="B11" s="82" t="s">
        <v>7</v>
      </c>
      <c r="C11" s="83"/>
      <c r="D11" s="61">
        <v>5</v>
      </c>
      <c r="E11" s="7"/>
    </row>
    <row r="12" spans="1:5" ht="17.25">
      <c r="A12" s="6"/>
      <c r="B12" s="82" t="s">
        <v>8</v>
      </c>
      <c r="C12" s="83"/>
      <c r="D12" s="74">
        <v>1.0789999999999999E-2</v>
      </c>
      <c r="E12" s="7"/>
    </row>
    <row r="13" spans="1:5" ht="17.25">
      <c r="A13" s="6"/>
      <c r="B13" s="82" t="s">
        <v>9</v>
      </c>
      <c r="C13" s="83"/>
      <c r="D13" s="67" cm="1">
        <f t="array" ref="D13">FV(TAXA_MENSAL,QTD_ANOS*12,APORTE*-1)</f>
        <v>8377.6913998487635</v>
      </c>
      <c r="E13" s="7"/>
    </row>
    <row r="14" spans="1:5" ht="17.25">
      <c r="A14" s="6"/>
      <c r="B14" s="84" t="s">
        <v>10</v>
      </c>
      <c r="C14" s="85"/>
      <c r="D14" s="68">
        <f>D13*$D$6</f>
        <v>90.479067118366643</v>
      </c>
      <c r="E14" s="7"/>
    </row>
    <row r="15" spans="1:5">
      <c r="A15" s="6"/>
      <c r="B15" s="6"/>
      <c r="C15" s="6"/>
      <c r="D15" s="6"/>
      <c r="E15" s="7"/>
    </row>
    <row r="16" spans="1:5" ht="26.25">
      <c r="A16" s="6"/>
      <c r="B16" s="80" t="s">
        <v>11</v>
      </c>
      <c r="C16" s="81"/>
      <c r="D16" s="11" t="s">
        <v>12</v>
      </c>
      <c r="E16" s="7"/>
    </row>
    <row r="17" spans="1:5" ht="17.25">
      <c r="A17" s="6"/>
      <c r="B17" s="18" t="s">
        <v>13</v>
      </c>
      <c r="C17" s="71" cm="1">
        <f t="array" ref="C17">FV(TAXA_MENSAL,2*12,-APORTE)</f>
        <v>2722.7627297645217</v>
      </c>
      <c r="D17" s="62" cm="1">
        <f t="array" ref="D17">C17*RENDIMENTO_CARTEIRA</f>
        <v>29.405837481456835</v>
      </c>
      <c r="E17" s="7"/>
    </row>
    <row r="18" spans="1:5" ht="17.25">
      <c r="A18" s="6"/>
      <c r="B18" s="19" t="s">
        <v>14</v>
      </c>
      <c r="C18" s="71" cm="1">
        <f t="array" ref="C18">FV(TAXA_MENSAL,5*12,-APORTE)</f>
        <v>8377.6913998487635</v>
      </c>
      <c r="D18" s="62" cm="1">
        <f t="array" ref="D18">C18*RENDIMENTO_CARTEIRA</f>
        <v>90.479067118366643</v>
      </c>
      <c r="E18" s="7"/>
    </row>
    <row r="19" spans="1:5" ht="17.25">
      <c r="A19" s="6"/>
      <c r="B19" s="18" t="s">
        <v>15</v>
      </c>
      <c r="C19" s="71" cm="1">
        <f t="array" ref="C19">FV(TAXA_MENSAL,10*12,-APORTE)</f>
        <v>24328.421253017219</v>
      </c>
      <c r="D19" s="62" cm="1">
        <f t="array" ref="D19">C19*RENDIMENTO_CARTEIRA</f>
        <v>262.74694953258597</v>
      </c>
      <c r="E19" s="7"/>
    </row>
    <row r="20" spans="1:5" ht="17.25">
      <c r="A20" s="6"/>
      <c r="B20" s="18" t="s">
        <v>16</v>
      </c>
      <c r="C20" s="71" cm="1">
        <f t="array" ref="C20">FV(TAXA_MENSAL,20*12,-APORTE)</f>
        <v>112519.84000970806</v>
      </c>
      <c r="D20" s="62" cm="1">
        <f t="array" ref="D20">C20*RENDIMENTO_CARTEIRA</f>
        <v>1215.2142721048472</v>
      </c>
      <c r="E20" s="7"/>
    </row>
    <row r="21" spans="1:5" ht="17.25">
      <c r="A21" s="6"/>
      <c r="B21" s="20" t="s">
        <v>17</v>
      </c>
      <c r="C21" s="72" cm="1">
        <f t="array" ref="C21">FV(TAXA_MENSAL,30*12,-APORTE)</f>
        <v>432216.96550047147</v>
      </c>
      <c r="D21" s="63" cm="1">
        <f t="array" ref="D21">C21*RENDIMENTO_CARTEIRA</f>
        <v>4667.9432274050923</v>
      </c>
      <c r="E21" s="7"/>
    </row>
    <row r="22" spans="1:5">
      <c r="A22" s="6"/>
      <c r="B22" s="6"/>
      <c r="C22" s="6"/>
      <c r="D22" s="6"/>
      <c r="E22" s="7"/>
    </row>
    <row r="23" spans="1:5" ht="26.25">
      <c r="A23" s="6"/>
      <c r="B23" s="22" t="s">
        <v>18</v>
      </c>
      <c r="C23" s="78" t="s">
        <v>19</v>
      </c>
      <c r="D23" s="79"/>
      <c r="E23" s="7"/>
    </row>
    <row r="24" spans="1:5" ht="17.25">
      <c r="A24" s="6"/>
      <c r="B24" s="21" t="s">
        <v>20</v>
      </c>
      <c r="C24" s="76">
        <f>APORTE</f>
        <v>100</v>
      </c>
      <c r="D24" s="77"/>
      <c r="E24" s="7"/>
    </row>
    <row r="25" spans="1:5">
      <c r="A25" s="6"/>
      <c r="B25" s="6"/>
      <c r="C25" s="6"/>
      <c r="D25" s="6"/>
      <c r="E25" s="6"/>
    </row>
    <row r="26" spans="1:5" ht="26.25">
      <c r="A26" s="6"/>
      <c r="B26" s="22" t="s">
        <v>21</v>
      </c>
      <c r="C26" s="23" t="s">
        <v>22</v>
      </c>
      <c r="D26" s="31" t="s">
        <v>23</v>
      </c>
      <c r="E26" s="7"/>
    </row>
    <row r="27" spans="1:5" ht="17.25">
      <c r="A27" s="6"/>
      <c r="B27" s="30" t="s">
        <v>24</v>
      </c>
      <c r="C27" s="70">
        <f>VLOOKUP($C$23&amp;"-"&amp;B27,CHAVES!A2:$D$24,4,FALSE)</f>
        <v>0.5</v>
      </c>
      <c r="D27" s="69">
        <f>C27*$C$24</f>
        <v>50</v>
      </c>
      <c r="E27" s="7"/>
    </row>
    <row r="28" spans="1:5" ht="17.25">
      <c r="A28" s="6"/>
      <c r="B28" s="65" t="s">
        <v>25</v>
      </c>
      <c r="C28" s="70">
        <f>VLOOKUP($C$23&amp;"-"&amp;B28,CHAVES!A3:$D$24,4,FALSE)</f>
        <v>0.1</v>
      </c>
      <c r="D28" s="69">
        <f t="shared" ref="D28:D32" si="0">C28*$C$24</f>
        <v>10</v>
      </c>
      <c r="E28" s="7"/>
    </row>
    <row r="29" spans="1:5" ht="17.25">
      <c r="A29" s="6"/>
      <c r="B29" s="65" t="s">
        <v>26</v>
      </c>
      <c r="C29" s="70">
        <f>VLOOKUP($C$23&amp;"-"&amp;B29,CHAVES!A4:$D$24,4,FALSE)</f>
        <v>0.05</v>
      </c>
      <c r="D29" s="69">
        <f t="shared" si="0"/>
        <v>5</v>
      </c>
      <c r="E29" s="7"/>
    </row>
    <row r="30" spans="1:5" ht="17.25">
      <c r="A30" s="27"/>
      <c r="B30" s="65" t="s">
        <v>27</v>
      </c>
      <c r="C30" s="70">
        <f>VLOOKUP($C$23&amp;"-"&amp;B30,CHAVES!A5:$D$24,4,FALSE)</f>
        <v>0.05</v>
      </c>
      <c r="D30" s="69">
        <f t="shared" si="0"/>
        <v>5</v>
      </c>
      <c r="E30" s="28"/>
    </row>
    <row r="31" spans="1:5" ht="17.25">
      <c r="A31" s="27"/>
      <c r="B31" s="65" t="s">
        <v>28</v>
      </c>
      <c r="C31" s="70">
        <f>VLOOKUP($C$23&amp;"-"&amp;B31,CHAVES!A6:$D$24,4,FALSE)</f>
        <v>0.2</v>
      </c>
      <c r="D31" s="69">
        <f t="shared" si="0"/>
        <v>20</v>
      </c>
      <c r="E31" s="28"/>
    </row>
    <row r="32" spans="1:5" ht="17.25">
      <c r="A32" s="6"/>
      <c r="B32" s="64" t="s">
        <v>29</v>
      </c>
      <c r="C32" s="70">
        <f>VLOOKUP($C$23&amp;"-"&amp;B32,CHAVES!A7:$D$24,4,FALSE)</f>
        <v>0.1</v>
      </c>
      <c r="D32" s="69">
        <f t="shared" si="0"/>
        <v>10</v>
      </c>
      <c r="E32" s="28"/>
    </row>
    <row r="33" spans="1:5">
      <c r="A33" s="29"/>
      <c r="B33" s="29"/>
      <c r="C33" s="29"/>
      <c r="D33" s="29"/>
      <c r="E33" s="28"/>
    </row>
  </sheetData>
  <sheetProtection sheet="1" objects="1" scenarios="1"/>
  <protectedRanges>
    <protectedRange sqref="D5" name="Range1"/>
    <protectedRange sqref="D10" name="Range2"/>
    <protectedRange sqref="C23:D23" name="Range3"/>
  </protectedRanges>
  <mergeCells count="9">
    <mergeCell ref="A1:E1"/>
    <mergeCell ref="C24:D24"/>
    <mergeCell ref="C23:D23"/>
    <mergeCell ref="B16:C16"/>
    <mergeCell ref="B10:C10"/>
    <mergeCell ref="B11:C11"/>
    <mergeCell ref="B12:C12"/>
    <mergeCell ref="B13:C13"/>
    <mergeCell ref="B14:C14"/>
  </mergeCells>
  <dataValidations count="1">
    <dataValidation type="list" allowBlank="1" showInputMessage="1" showErrorMessage="1" sqref="C23" xr:uid="{CE46CCE3-9B87-496A-91AC-892FAB7DA508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3F09-B584-4A1E-86B0-E9D0AF16C1BF}">
  <dimension ref="A2:D24"/>
  <sheetViews>
    <sheetView showGridLines="0" topLeftCell="A13" workbookViewId="0">
      <selection activeCell="F14" sqref="F14"/>
    </sheetView>
  </sheetViews>
  <sheetFormatPr defaultColWidth="9.140625" defaultRowHeight="15"/>
  <cols>
    <col min="1" max="1" width="34" bestFit="1" customWidth="1"/>
    <col min="2" max="2" width="45.85546875" customWidth="1"/>
    <col min="3" max="3" width="20.42578125" customWidth="1"/>
    <col min="4" max="4" width="19.42578125" customWidth="1"/>
  </cols>
  <sheetData>
    <row r="2" spans="1:4">
      <c r="A2" s="32" t="s">
        <v>30</v>
      </c>
      <c r="B2" s="33" t="s">
        <v>18</v>
      </c>
      <c r="C2" s="53" t="s">
        <v>31</v>
      </c>
      <c r="D2" s="44" t="s">
        <v>32</v>
      </c>
    </row>
    <row r="3" spans="1:4">
      <c r="A3" s="25" t="s">
        <v>33</v>
      </c>
      <c r="B3" s="41" t="s">
        <v>34</v>
      </c>
      <c r="C3" s="55" t="s">
        <v>24</v>
      </c>
      <c r="D3" s="46">
        <v>0.3</v>
      </c>
    </row>
    <row r="4" spans="1:4">
      <c r="A4" s="25" t="s">
        <v>35</v>
      </c>
      <c r="B4" s="42" t="s">
        <v>34</v>
      </c>
      <c r="C4" s="56" t="s">
        <v>25</v>
      </c>
      <c r="D4" s="47">
        <v>0.5</v>
      </c>
    </row>
    <row r="5" spans="1:4">
      <c r="A5" s="25" t="s">
        <v>36</v>
      </c>
      <c r="B5" s="42" t="s">
        <v>34</v>
      </c>
      <c r="C5" s="56" t="s">
        <v>26</v>
      </c>
      <c r="D5" s="47">
        <v>0.1</v>
      </c>
    </row>
    <row r="6" spans="1:4">
      <c r="A6" s="25" t="s">
        <v>37</v>
      </c>
      <c r="B6" s="42" t="s">
        <v>34</v>
      </c>
      <c r="C6" s="56" t="s">
        <v>27</v>
      </c>
      <c r="D6" s="47">
        <v>0.1</v>
      </c>
    </row>
    <row r="7" spans="1:4">
      <c r="A7" s="25" t="s">
        <v>38</v>
      </c>
      <c r="B7" s="42" t="s">
        <v>34</v>
      </c>
      <c r="C7" s="56" t="s">
        <v>28</v>
      </c>
      <c r="D7" s="47">
        <v>0</v>
      </c>
    </row>
    <row r="8" spans="1:4">
      <c r="A8" s="26" t="s">
        <v>39</v>
      </c>
      <c r="B8" s="43" t="s">
        <v>34</v>
      </c>
      <c r="C8" s="57" t="s">
        <v>29</v>
      </c>
      <c r="D8" s="48">
        <v>0</v>
      </c>
    </row>
    <row r="9" spans="1:4">
      <c r="C9" s="58"/>
      <c r="D9" s="49"/>
    </row>
    <row r="10" spans="1:4">
      <c r="A10" s="32" t="s">
        <v>30</v>
      </c>
      <c r="B10" s="37" t="s">
        <v>18</v>
      </c>
      <c r="C10" s="54" t="s">
        <v>31</v>
      </c>
      <c r="D10" s="45" t="s">
        <v>32</v>
      </c>
    </row>
    <row r="11" spans="1:4">
      <c r="A11" s="34" t="s">
        <v>40</v>
      </c>
      <c r="B11" s="38" t="s">
        <v>41</v>
      </c>
      <c r="C11" s="55" t="s">
        <v>24</v>
      </c>
      <c r="D11" s="50">
        <v>0.32</v>
      </c>
    </row>
    <row r="12" spans="1:4">
      <c r="A12" s="34" t="s">
        <v>42</v>
      </c>
      <c r="B12" s="39" t="s">
        <v>41</v>
      </c>
      <c r="C12" s="56" t="s">
        <v>25</v>
      </c>
      <c r="D12" s="51">
        <v>0.4</v>
      </c>
    </row>
    <row r="13" spans="1:4">
      <c r="A13" s="34" t="s">
        <v>43</v>
      </c>
      <c r="B13" s="39" t="s">
        <v>41</v>
      </c>
      <c r="C13" s="56" t="s">
        <v>26</v>
      </c>
      <c r="D13" s="51">
        <v>0.13</v>
      </c>
    </row>
    <row r="14" spans="1:4">
      <c r="A14" s="34" t="s">
        <v>44</v>
      </c>
      <c r="B14" s="39" t="s">
        <v>41</v>
      </c>
      <c r="C14" s="56" t="s">
        <v>27</v>
      </c>
      <c r="D14" s="51">
        <v>0.05</v>
      </c>
    </row>
    <row r="15" spans="1:4">
      <c r="A15" s="34" t="s">
        <v>45</v>
      </c>
      <c r="B15" s="39" t="s">
        <v>41</v>
      </c>
      <c r="C15" s="56" t="s">
        <v>28</v>
      </c>
      <c r="D15" s="51">
        <v>0.05</v>
      </c>
    </row>
    <row r="16" spans="1:4">
      <c r="A16" s="35" t="s">
        <v>46</v>
      </c>
      <c r="B16" s="40" t="s">
        <v>41</v>
      </c>
      <c r="C16" s="57" t="s">
        <v>29</v>
      </c>
      <c r="D16" s="52">
        <v>0.05</v>
      </c>
    </row>
    <row r="17" spans="1:4">
      <c r="C17" s="58"/>
      <c r="D17" s="49"/>
    </row>
    <row r="18" spans="1:4">
      <c r="A18" s="24" t="s">
        <v>30</v>
      </c>
      <c r="B18" s="37" t="s">
        <v>18</v>
      </c>
      <c r="C18" s="54" t="s">
        <v>31</v>
      </c>
      <c r="D18" s="45" t="s">
        <v>32</v>
      </c>
    </row>
    <row r="19" spans="1:4">
      <c r="A19" s="36" t="s">
        <v>47</v>
      </c>
      <c r="B19" s="38" t="s">
        <v>19</v>
      </c>
      <c r="C19" s="55" t="s">
        <v>24</v>
      </c>
      <c r="D19" s="50">
        <v>0.5</v>
      </c>
    </row>
    <row r="20" spans="1:4">
      <c r="A20" s="34" t="s">
        <v>48</v>
      </c>
      <c r="B20" s="39" t="s">
        <v>19</v>
      </c>
      <c r="C20" s="56" t="s">
        <v>25</v>
      </c>
      <c r="D20" s="51">
        <v>0.1</v>
      </c>
    </row>
    <row r="21" spans="1:4">
      <c r="A21" s="34" t="s">
        <v>49</v>
      </c>
      <c r="B21" s="39" t="s">
        <v>19</v>
      </c>
      <c r="C21" s="56" t="s">
        <v>26</v>
      </c>
      <c r="D21" s="51">
        <v>0.05</v>
      </c>
    </row>
    <row r="22" spans="1:4">
      <c r="A22" s="34" t="s">
        <v>50</v>
      </c>
      <c r="B22" s="39" t="s">
        <v>19</v>
      </c>
      <c r="C22" s="56" t="s">
        <v>27</v>
      </c>
      <c r="D22" s="51">
        <v>0.05</v>
      </c>
    </row>
    <row r="23" spans="1:4">
      <c r="A23" s="34" t="s">
        <v>51</v>
      </c>
      <c r="B23" s="39" t="s">
        <v>19</v>
      </c>
      <c r="C23" s="56" t="s">
        <v>28</v>
      </c>
      <c r="D23" s="51">
        <v>0.2</v>
      </c>
    </row>
    <row r="24" spans="1:4">
      <c r="A24" s="35" t="s">
        <v>52</v>
      </c>
      <c r="B24" s="40" t="s">
        <v>19</v>
      </c>
      <c r="C24" s="57" t="s">
        <v>29</v>
      </c>
      <c r="D24" s="5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2026-10-18T15:06:19Z</dcterms:created>
  <dcterms:modified xsi:type="dcterms:W3CDTF">2026-10-19T01:31:52Z</dcterms:modified>
  <cp:category/>
  <cp:contentStatus/>
</cp:coreProperties>
</file>